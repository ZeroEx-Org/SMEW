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maraMichaelis\Code\SMEW\Projects\Vulkaneifel\"/>
    </mc:Choice>
  </mc:AlternateContent>
  <xr:revisionPtr revIDLastSave="0" documentId="13_ncr:1_{91122E12-36A3-4D4C-A3C1-BF16D648CA2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limatic" sheetId="1" r:id="rId1"/>
    <sheet name="Rain" sheetId="7" r:id="rId2"/>
    <sheet name="Soil" sheetId="2" r:id="rId3"/>
    <sheet name="Feedstock" sheetId="3" r:id="rId4"/>
    <sheet name="Mineralogy" sheetId="4" r:id="rId5"/>
    <sheet name="GrainSizeDistribution" sheetId="6" r:id="rId6"/>
    <sheet name="Plan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10" i="1"/>
  <c r="D9" i="1"/>
</calcChain>
</file>

<file path=xl/sharedStrings.xml><?xml version="1.0" encoding="utf-8"?>
<sst xmlns="http://schemas.openxmlformats.org/spreadsheetml/2006/main" count="146" uniqueCount="100">
  <si>
    <t>Parameter</t>
  </si>
  <si>
    <t>Description</t>
  </si>
  <si>
    <t>Unit</t>
  </si>
  <si>
    <t>temp_av</t>
  </si>
  <si>
    <t>annual mean temperature</t>
  </si>
  <si>
    <t>temp_ampl_yr</t>
  </si>
  <si>
    <t>temp_ampl_d</t>
  </si>
  <si>
    <t>coastal</t>
  </si>
  <si>
    <t>coastal climate (True/False)</t>
  </si>
  <si>
    <t>yearly amplitude</t>
  </si>
  <si>
    <t>daily amplitude</t>
  </si>
  <si>
    <t>°C</t>
  </si>
  <si>
    <t>-</t>
  </si>
  <si>
    <t>latitude</t>
  </si>
  <si>
    <t>altitude</t>
  </si>
  <si>
    <t>albedo</t>
  </si>
  <si>
    <t>m</t>
  </si>
  <si>
    <t>rho_bulk</t>
  </si>
  <si>
    <t>texture</t>
  </si>
  <si>
    <t>Zr</t>
  </si>
  <si>
    <t>soil depth</t>
  </si>
  <si>
    <t>R_tot</t>
  </si>
  <si>
    <t>total yearly precipitation</t>
  </si>
  <si>
    <t>m/yr</t>
  </si>
  <si>
    <t>t_app</t>
  </si>
  <si>
    <t>T_v</t>
  </si>
  <si>
    <t>growth time</t>
  </si>
  <si>
    <t>d</t>
  </si>
  <si>
    <t>k_v</t>
  </si>
  <si>
    <t>carrying capacity</t>
  </si>
  <si>
    <t>g/m2</t>
  </si>
  <si>
    <t>RAI</t>
  </si>
  <si>
    <t>root area index</t>
  </si>
  <si>
    <t>m2/m2</t>
  </si>
  <si>
    <t>root_d</t>
  </si>
  <si>
    <t>average root diamater</t>
  </si>
  <si>
    <t>t0_v</t>
  </si>
  <si>
    <t>starting day of growth</t>
  </si>
  <si>
    <t>ADD</t>
  </si>
  <si>
    <t>added dry litter</t>
  </si>
  <si>
    <t>gOC/(m2*d)</t>
  </si>
  <si>
    <t>SOC_perc</t>
  </si>
  <si>
    <t>organic carbon content</t>
  </si>
  <si>
    <t>%</t>
  </si>
  <si>
    <t>dist_percent</t>
  </si>
  <si>
    <t>cum_dist_percent</t>
  </si>
  <si>
    <t>pH_in</t>
  </si>
  <si>
    <t>soil pH</t>
  </si>
  <si>
    <t>CEC_tot</t>
  </si>
  <si>
    <t>cation exchange capacity</t>
  </si>
  <si>
    <t>mmol_c/(100 g dry soil)</t>
  </si>
  <si>
    <t>f_Ca_in</t>
  </si>
  <si>
    <t>f_Mg_in</t>
  </si>
  <si>
    <t>f_K_in</t>
  </si>
  <si>
    <t>f_Na_in</t>
  </si>
  <si>
    <t>f_Al_in</t>
  </si>
  <si>
    <t>f_H_in</t>
  </si>
  <si>
    <t>CaCO3_in</t>
  </si>
  <si>
    <t>MgCO3_in</t>
  </si>
  <si>
    <t>CEC fractions</t>
  </si>
  <si>
    <t>Si_in</t>
  </si>
  <si>
    <t>M_rock_in</t>
  </si>
  <si>
    <t>feedstock application rate</t>
  </si>
  <si>
    <t>day of rock powder application</t>
  </si>
  <si>
    <t>diss_f</t>
  </si>
  <si>
    <t>dissolution factor (default: 1; can be used as calibration factor)</t>
  </si>
  <si>
    <t>SSA_in</t>
  </si>
  <si>
    <t>specific surface area (measured value or nan to estimate it)</t>
  </si>
  <si>
    <t>m2/g</t>
  </si>
  <si>
    <t>Mineral (%)</t>
  </si>
  <si>
    <t>Diameter (μm)</t>
  </si>
  <si>
    <t>n_years</t>
  </si>
  <si>
    <t>number of years simulated</t>
  </si>
  <si>
    <t>yr</t>
  </si>
  <si>
    <t>soil texture, options: [sand, loamy sand, sandy loam, loam, clay loam, clay]</t>
  </si>
  <si>
    <t>day1</t>
  </si>
  <si>
    <t>starting day of simulation</t>
  </si>
  <si>
    <t>carbonate inputs</t>
  </si>
  <si>
    <t>silicate input</t>
  </si>
  <si>
    <t>mol</t>
  </si>
  <si>
    <t>sand</t>
  </si>
  <si>
    <t>silt</t>
  </si>
  <si>
    <t>clay</t>
  </si>
  <si>
    <t>optional; if texture class is not known</t>
  </si>
  <si>
    <t>soil bulk density</t>
  </si>
  <si>
    <t>longitude</t>
  </si>
  <si>
    <t>Month</t>
  </si>
  <si>
    <t>°</t>
  </si>
  <si>
    <t>lambda (1/d)</t>
  </si>
  <si>
    <t>alfa (mm)</t>
  </si>
  <si>
    <t>default</t>
  </si>
  <si>
    <t>calibration parameter</t>
  </si>
  <si>
    <t>clay loam</t>
  </si>
  <si>
    <t>g/cm3</t>
  </si>
  <si>
    <t>forsterite</t>
  </si>
  <si>
    <t>augite</t>
  </si>
  <si>
    <t>nepheline</t>
  </si>
  <si>
    <t>1st of March in the next year</t>
  </si>
  <si>
    <t>Field C</t>
  </si>
  <si>
    <t>hydroxyapatite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</si>
</sst>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2" sqref="D2"/>
    </sheetView>
  </sheetViews>
  <sheetFormatPr defaultRowHeight="14.5" x14ac:dyDescent="0.35"/>
  <cols>
    <col min="1" max="1" width="13.36328125" bestFit="1" customWidth="1"/>
    <col min="2" max="2" width="44.54296875" bestFit="1" customWidth="1"/>
    <col min="3" max="3" width="10.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98</v>
      </c>
    </row>
    <row r="2" spans="1:4" x14ac:dyDescent="0.35">
      <c r="A2" t="s">
        <v>71</v>
      </c>
      <c r="B2" t="s">
        <v>72</v>
      </c>
      <c r="C2" t="s">
        <v>73</v>
      </c>
      <c r="D2">
        <v>5</v>
      </c>
    </row>
    <row r="3" spans="1:4" x14ac:dyDescent="0.35">
      <c r="A3" t="s">
        <v>75</v>
      </c>
      <c r="B3" t="s">
        <v>76</v>
      </c>
      <c r="C3" t="s">
        <v>27</v>
      </c>
      <c r="D3">
        <v>291</v>
      </c>
    </row>
    <row r="4" spans="1:4" x14ac:dyDescent="0.35">
      <c r="A4" t="s">
        <v>13</v>
      </c>
      <c r="C4" t="s">
        <v>87</v>
      </c>
      <c r="D4">
        <v>49.994999999999997</v>
      </c>
    </row>
    <row r="5" spans="1:4" x14ac:dyDescent="0.35">
      <c r="A5" t="s">
        <v>85</v>
      </c>
      <c r="C5" t="s">
        <v>87</v>
      </c>
    </row>
    <row r="6" spans="1:4" x14ac:dyDescent="0.35">
      <c r="A6" t="s">
        <v>14</v>
      </c>
      <c r="C6" t="s">
        <v>16</v>
      </c>
      <c r="D6">
        <v>510</v>
      </c>
    </row>
    <row r="7" spans="1:4" x14ac:dyDescent="0.35">
      <c r="A7" t="s">
        <v>15</v>
      </c>
      <c r="C7" s="1" t="s">
        <v>12</v>
      </c>
      <c r="D7">
        <v>0.25</v>
      </c>
    </row>
    <row r="8" spans="1:4" x14ac:dyDescent="0.35">
      <c r="A8" t="s">
        <v>3</v>
      </c>
      <c r="B8" t="s">
        <v>4</v>
      </c>
      <c r="C8" t="s">
        <v>11</v>
      </c>
      <c r="D8">
        <v>8.4544999999999995</v>
      </c>
    </row>
    <row r="9" spans="1:4" x14ac:dyDescent="0.35">
      <c r="A9" t="s">
        <v>5</v>
      </c>
      <c r="B9" t="s">
        <v>9</v>
      </c>
      <c r="C9" t="s">
        <v>11</v>
      </c>
      <c r="D9">
        <f>32.70789/2</f>
        <v>16.353945</v>
      </c>
    </row>
    <row r="10" spans="1:4" x14ac:dyDescent="0.35">
      <c r="A10" t="s">
        <v>6</v>
      </c>
      <c r="B10" t="s">
        <v>10</v>
      </c>
      <c r="C10" t="s">
        <v>11</v>
      </c>
      <c r="D10">
        <f>8.8792/2</f>
        <v>4.4396000000000004</v>
      </c>
    </row>
    <row r="11" spans="1:4" x14ac:dyDescent="0.35">
      <c r="A11" t="s">
        <v>7</v>
      </c>
      <c r="B11" t="s">
        <v>8</v>
      </c>
      <c r="C11" s="1" t="s">
        <v>12</v>
      </c>
      <c r="D11" t="b">
        <v>0</v>
      </c>
    </row>
    <row r="12" spans="1:4" x14ac:dyDescent="0.35">
      <c r="A12" t="s">
        <v>21</v>
      </c>
      <c r="B12" t="s">
        <v>22</v>
      </c>
      <c r="C12" t="s">
        <v>23</v>
      </c>
      <c r="D1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663B-7F05-4D2D-BDAB-1A16B09FB531}">
  <dimension ref="A1:C13"/>
  <sheetViews>
    <sheetView workbookViewId="0">
      <selection activeCell="H9" sqref="H9"/>
    </sheetView>
  </sheetViews>
  <sheetFormatPr defaultRowHeight="14.5" x14ac:dyDescent="0.35"/>
  <cols>
    <col min="2" max="2" width="11.7265625" bestFit="1" customWidth="1"/>
    <col min="3" max="3" width="8.90625" bestFit="1" customWidth="1"/>
  </cols>
  <sheetData>
    <row r="1" spans="1:3" x14ac:dyDescent="0.35">
      <c r="A1" s="2" t="s">
        <v>86</v>
      </c>
      <c r="B1" s="2" t="s">
        <v>88</v>
      </c>
      <c r="C1" s="2" t="s">
        <v>89</v>
      </c>
    </row>
    <row r="2" spans="1:3" x14ac:dyDescent="0.35">
      <c r="A2">
        <v>10</v>
      </c>
      <c r="B2">
        <v>0.51782682999999996</v>
      </c>
      <c r="C2">
        <v>4.0340983599999998</v>
      </c>
    </row>
    <row r="3" spans="1:3" x14ac:dyDescent="0.35">
      <c r="A3">
        <v>11</v>
      </c>
      <c r="B3">
        <v>0.60175438999999997</v>
      </c>
      <c r="C3">
        <v>4.2170553899999996</v>
      </c>
    </row>
    <row r="4" spans="1:3" x14ac:dyDescent="0.35">
      <c r="A4">
        <v>12</v>
      </c>
      <c r="B4">
        <v>0.61205432999999998</v>
      </c>
      <c r="C4">
        <v>4.3754507599999997</v>
      </c>
    </row>
    <row r="5" spans="1:3" x14ac:dyDescent="0.35">
      <c r="A5">
        <v>1</v>
      </c>
      <c r="B5">
        <v>0.61035653999999995</v>
      </c>
      <c r="C5">
        <v>3.7267037599999999</v>
      </c>
    </row>
    <row r="6" spans="1:3" x14ac:dyDescent="0.35">
      <c r="A6">
        <v>2</v>
      </c>
      <c r="B6">
        <v>0.52518149000000003</v>
      </c>
      <c r="C6">
        <v>3.9147163100000002</v>
      </c>
    </row>
    <row r="7" spans="1:3" x14ac:dyDescent="0.35">
      <c r="A7">
        <v>3</v>
      </c>
      <c r="B7">
        <v>0.52546689000000002</v>
      </c>
      <c r="C7">
        <v>3.8441033899999999</v>
      </c>
    </row>
    <row r="8" spans="1:3" x14ac:dyDescent="0.35">
      <c r="A8">
        <v>4</v>
      </c>
      <c r="B8">
        <v>0.47543859999999999</v>
      </c>
      <c r="C8">
        <v>3.85350554</v>
      </c>
    </row>
    <row r="9" spans="1:3" x14ac:dyDescent="0.35">
      <c r="A9">
        <v>5</v>
      </c>
      <c r="B9">
        <v>0.50254668999999996</v>
      </c>
      <c r="C9">
        <v>4.3064189199999996</v>
      </c>
    </row>
    <row r="10" spans="1:3" x14ac:dyDescent="0.35">
      <c r="A10">
        <v>6</v>
      </c>
      <c r="B10">
        <v>0.46929824999999997</v>
      </c>
      <c r="C10">
        <v>5.0242990699999996</v>
      </c>
    </row>
    <row r="11" spans="1:3" x14ac:dyDescent="0.35">
      <c r="A11">
        <v>7</v>
      </c>
      <c r="B11">
        <v>0.44736841999999999</v>
      </c>
      <c r="C11">
        <v>5.4603415599999998</v>
      </c>
    </row>
    <row r="12" spans="1:3" x14ac:dyDescent="0.35">
      <c r="A12">
        <v>8</v>
      </c>
      <c r="B12">
        <v>0.44567063000000001</v>
      </c>
      <c r="C12">
        <v>4.6449523800000003</v>
      </c>
    </row>
    <row r="13" spans="1:3" x14ac:dyDescent="0.35">
      <c r="A13">
        <v>9</v>
      </c>
      <c r="B13">
        <v>0.44649123000000002</v>
      </c>
      <c r="C13">
        <v>5.2328094299999997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6352-8294-40C0-A6BB-12E0EE03795A}">
  <dimension ref="A1:D20"/>
  <sheetViews>
    <sheetView workbookViewId="0">
      <selection activeCell="D1" sqref="D1"/>
    </sheetView>
  </sheetViews>
  <sheetFormatPr defaultRowHeight="14.5" x14ac:dyDescent="0.35"/>
  <cols>
    <col min="1" max="1" width="9.81640625" bestFit="1" customWidth="1"/>
    <col min="2" max="2" width="65.453125" bestFit="1" customWidth="1"/>
    <col min="3" max="3" width="21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98</v>
      </c>
    </row>
    <row r="2" spans="1:4" x14ac:dyDescent="0.35">
      <c r="A2" t="s">
        <v>17</v>
      </c>
      <c r="B2" t="s">
        <v>84</v>
      </c>
      <c r="C2" t="s">
        <v>93</v>
      </c>
      <c r="D2">
        <v>1.2</v>
      </c>
    </row>
    <row r="3" spans="1:4" x14ac:dyDescent="0.35">
      <c r="A3" t="s">
        <v>18</v>
      </c>
      <c r="B3" t="s">
        <v>74</v>
      </c>
      <c r="C3" s="1" t="s">
        <v>12</v>
      </c>
      <c r="D3" t="s">
        <v>92</v>
      </c>
    </row>
    <row r="4" spans="1:4" x14ac:dyDescent="0.35">
      <c r="A4" t="s">
        <v>19</v>
      </c>
      <c r="B4" t="s">
        <v>20</v>
      </c>
      <c r="C4" t="s">
        <v>16</v>
      </c>
      <c r="D4">
        <v>0.3</v>
      </c>
    </row>
    <row r="5" spans="1:4" x14ac:dyDescent="0.35">
      <c r="A5" t="s">
        <v>41</v>
      </c>
      <c r="B5" t="s">
        <v>42</v>
      </c>
      <c r="C5" t="s">
        <v>43</v>
      </c>
      <c r="D5">
        <v>0.97</v>
      </c>
    </row>
    <row r="6" spans="1:4" x14ac:dyDescent="0.35">
      <c r="A6" t="s">
        <v>38</v>
      </c>
      <c r="B6" t="s">
        <v>39</v>
      </c>
      <c r="C6" t="s">
        <v>40</v>
      </c>
      <c r="D6">
        <v>1</v>
      </c>
    </row>
    <row r="7" spans="1:4" x14ac:dyDescent="0.35">
      <c r="A7" t="s">
        <v>46</v>
      </c>
      <c r="B7" t="s">
        <v>47</v>
      </c>
      <c r="C7" s="1" t="s">
        <v>12</v>
      </c>
      <c r="D7">
        <v>4.8550000000000004</v>
      </c>
    </row>
    <row r="8" spans="1:4" x14ac:dyDescent="0.35">
      <c r="A8" t="s">
        <v>48</v>
      </c>
      <c r="B8" t="s">
        <v>49</v>
      </c>
      <c r="C8" t="s">
        <v>50</v>
      </c>
      <c r="D8">
        <v>2.7269999999999999</v>
      </c>
    </row>
    <row r="9" spans="1:4" x14ac:dyDescent="0.35">
      <c r="A9" t="s">
        <v>51</v>
      </c>
      <c r="B9" t="s">
        <v>59</v>
      </c>
      <c r="C9" s="1" t="s">
        <v>12</v>
      </c>
      <c r="D9">
        <v>0.27200000000000002</v>
      </c>
    </row>
    <row r="10" spans="1:4" x14ac:dyDescent="0.35">
      <c r="A10" t="s">
        <v>52</v>
      </c>
      <c r="B10" t="s">
        <v>59</v>
      </c>
      <c r="C10" s="1" t="s">
        <v>12</v>
      </c>
      <c r="D10">
        <v>4.3999999999999997E-2</v>
      </c>
    </row>
    <row r="11" spans="1:4" x14ac:dyDescent="0.35">
      <c r="A11" t="s">
        <v>53</v>
      </c>
      <c r="B11" t="s">
        <v>59</v>
      </c>
      <c r="C11" s="1" t="s">
        <v>12</v>
      </c>
      <c r="D11">
        <v>6.6000000000000003E-2</v>
      </c>
    </row>
    <row r="12" spans="1:4" x14ac:dyDescent="0.35">
      <c r="A12" t="s">
        <v>54</v>
      </c>
      <c r="B12" t="s">
        <v>59</v>
      </c>
      <c r="C12" s="1" t="s">
        <v>12</v>
      </c>
      <c r="D12">
        <v>0.14399999999999999</v>
      </c>
    </row>
    <row r="13" spans="1:4" x14ac:dyDescent="0.35">
      <c r="A13" t="s">
        <v>55</v>
      </c>
      <c r="B13" t="s">
        <v>59</v>
      </c>
      <c r="C13" s="1" t="s">
        <v>12</v>
      </c>
      <c r="D13">
        <v>0.23699999999999999</v>
      </c>
    </row>
    <row r="14" spans="1:4" x14ac:dyDescent="0.35">
      <c r="A14" t="s">
        <v>56</v>
      </c>
      <c r="B14" t="s">
        <v>59</v>
      </c>
      <c r="C14" s="1" t="s">
        <v>12</v>
      </c>
      <c r="D14">
        <v>0.23699999999999999</v>
      </c>
    </row>
    <row r="15" spans="1:4" x14ac:dyDescent="0.35">
      <c r="A15" t="s">
        <v>57</v>
      </c>
      <c r="B15" t="s">
        <v>77</v>
      </c>
      <c r="C15" t="s">
        <v>79</v>
      </c>
      <c r="D15">
        <v>0</v>
      </c>
    </row>
    <row r="16" spans="1:4" x14ac:dyDescent="0.35">
      <c r="A16" t="s">
        <v>58</v>
      </c>
      <c r="B16" t="s">
        <v>77</v>
      </c>
      <c r="C16" t="s">
        <v>79</v>
      </c>
      <c r="D16">
        <v>0</v>
      </c>
    </row>
    <row r="17" spans="1:4" x14ac:dyDescent="0.35">
      <c r="A17" t="s">
        <v>60</v>
      </c>
      <c r="B17" t="s">
        <v>78</v>
      </c>
      <c r="C17" t="s">
        <v>79</v>
      </c>
      <c r="D17">
        <v>0</v>
      </c>
    </row>
    <row r="18" spans="1:4" x14ac:dyDescent="0.35">
      <c r="A18" t="s">
        <v>80</v>
      </c>
      <c r="B18" t="s">
        <v>83</v>
      </c>
      <c r="C18" t="s">
        <v>43</v>
      </c>
    </row>
    <row r="19" spans="1:4" x14ac:dyDescent="0.35">
      <c r="A19" t="s">
        <v>81</v>
      </c>
      <c r="B19" t="s">
        <v>83</v>
      </c>
      <c r="C19" t="s">
        <v>43</v>
      </c>
    </row>
    <row r="20" spans="1:4" x14ac:dyDescent="0.35">
      <c r="A20" t="s">
        <v>82</v>
      </c>
      <c r="B20" t="s">
        <v>83</v>
      </c>
      <c r="C20" t="s">
        <v>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529-C134-4174-A10A-E51494665A0B}">
  <dimension ref="A1:E5"/>
  <sheetViews>
    <sheetView tabSelected="1" workbookViewId="0">
      <selection activeCell="H8" sqref="H8"/>
    </sheetView>
  </sheetViews>
  <sheetFormatPr defaultRowHeight="14.5" x14ac:dyDescent="0.35"/>
  <cols>
    <col min="1" max="1" width="9.81640625" bestFit="1" customWidth="1"/>
    <col min="2" max="2" width="54.8164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98</v>
      </c>
    </row>
    <row r="2" spans="1:5" x14ac:dyDescent="0.35">
      <c r="A2" t="s">
        <v>61</v>
      </c>
      <c r="B2" t="s">
        <v>62</v>
      </c>
      <c r="C2" t="s">
        <v>30</v>
      </c>
      <c r="D2">
        <v>4000</v>
      </c>
    </row>
    <row r="3" spans="1:5" x14ac:dyDescent="0.35">
      <c r="A3" t="s">
        <v>24</v>
      </c>
      <c r="B3" t="s">
        <v>63</v>
      </c>
      <c r="C3" t="s">
        <v>27</v>
      </c>
      <c r="D3">
        <v>0</v>
      </c>
    </row>
    <row r="4" spans="1:5" x14ac:dyDescent="0.35">
      <c r="A4" t="s">
        <v>64</v>
      </c>
      <c r="B4" t="s">
        <v>65</v>
      </c>
      <c r="C4" s="1" t="s">
        <v>12</v>
      </c>
      <c r="D4">
        <v>1</v>
      </c>
      <c r="E4" t="s">
        <v>91</v>
      </c>
    </row>
    <row r="5" spans="1:5" x14ac:dyDescent="0.35">
      <c r="A5" t="s">
        <v>66</v>
      </c>
      <c r="B5" t="s">
        <v>67</v>
      </c>
      <c r="C5" t="s">
        <v>68</v>
      </c>
      <c r="D5">
        <v>6.66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41B-6721-4BC0-92DF-12FC27F757F2}">
  <dimension ref="A1:B5"/>
  <sheetViews>
    <sheetView workbookViewId="0">
      <selection activeCell="E4" sqref="E4"/>
    </sheetView>
  </sheetViews>
  <sheetFormatPr defaultRowHeight="14.5" x14ac:dyDescent="0.35"/>
  <cols>
    <col min="1" max="1" width="13.453125" bestFit="1" customWidth="1"/>
  </cols>
  <sheetData>
    <row r="1" spans="1:2" x14ac:dyDescent="0.35">
      <c r="A1" s="2" t="s">
        <v>69</v>
      </c>
      <c r="B1" s="2" t="s">
        <v>98</v>
      </c>
    </row>
    <row r="2" spans="1:2" x14ac:dyDescent="0.35">
      <c r="A2" t="s">
        <v>94</v>
      </c>
      <c r="B2">
        <v>5.0999999999999996</v>
      </c>
    </row>
    <row r="3" spans="1:2" x14ac:dyDescent="0.35">
      <c r="A3" t="s">
        <v>95</v>
      </c>
      <c r="B3">
        <v>53.4</v>
      </c>
    </row>
    <row r="4" spans="1:2" x14ac:dyDescent="0.35">
      <c r="A4" t="s">
        <v>99</v>
      </c>
      <c r="B4">
        <v>2.9</v>
      </c>
    </row>
    <row r="5" spans="1:2" x14ac:dyDescent="0.35">
      <c r="A5" t="s">
        <v>96</v>
      </c>
      <c r="B5">
        <v>19.600000000000001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8A10-E0A0-48C1-B0DB-1532D1C92F0F}">
  <dimension ref="A1:C101"/>
  <sheetViews>
    <sheetView topLeftCell="A91" workbookViewId="0">
      <selection activeCell="E70" sqref="E70"/>
    </sheetView>
  </sheetViews>
  <sheetFormatPr defaultRowHeight="14.5" x14ac:dyDescent="0.35"/>
  <cols>
    <col min="1" max="1" width="14.26953125" customWidth="1"/>
    <col min="2" max="2" width="17.1796875" customWidth="1"/>
    <col min="3" max="3" width="16.1796875" bestFit="1" customWidth="1"/>
  </cols>
  <sheetData>
    <row r="1" spans="1:3" x14ac:dyDescent="0.35">
      <c r="A1" s="2" t="s">
        <v>70</v>
      </c>
      <c r="B1" s="2" t="s">
        <v>44</v>
      </c>
      <c r="C1" s="2" t="s">
        <v>45</v>
      </c>
    </row>
    <row r="2" spans="1:3" x14ac:dyDescent="0.35">
      <c r="A2">
        <v>1.0500000000000001E-2</v>
      </c>
      <c r="B2">
        <v>0</v>
      </c>
      <c r="C2">
        <v>0</v>
      </c>
    </row>
    <row r="3" spans="1:3" x14ac:dyDescent="0.35">
      <c r="A3">
        <v>1.15E-2</v>
      </c>
      <c r="B3">
        <v>0</v>
      </c>
      <c r="C3">
        <v>0</v>
      </c>
    </row>
    <row r="4" spans="1:3" x14ac:dyDescent="0.35">
      <c r="A4">
        <v>1.2999999999999999E-2</v>
      </c>
      <c r="B4">
        <v>0</v>
      </c>
      <c r="C4">
        <v>0</v>
      </c>
    </row>
    <row r="5" spans="1:3" x14ac:dyDescent="0.35">
      <c r="A5">
        <v>1.4999999999999999E-2</v>
      </c>
      <c r="B5">
        <v>0</v>
      </c>
      <c r="C5">
        <v>0</v>
      </c>
    </row>
    <row r="6" spans="1:3" x14ac:dyDescent="0.35">
      <c r="A6">
        <v>1.7000000000000001E-2</v>
      </c>
      <c r="B6">
        <v>0</v>
      </c>
      <c r="C6">
        <v>0</v>
      </c>
    </row>
    <row r="7" spans="1:3" x14ac:dyDescent="0.35">
      <c r="A7">
        <v>1.95E-2</v>
      </c>
      <c r="B7">
        <v>0</v>
      </c>
      <c r="C7">
        <v>0</v>
      </c>
    </row>
    <row r="8" spans="1:3" x14ac:dyDescent="0.35">
      <c r="A8">
        <v>2.2499999999999999E-2</v>
      </c>
      <c r="B8">
        <v>0</v>
      </c>
      <c r="C8">
        <v>0</v>
      </c>
    </row>
    <row r="9" spans="1:3" x14ac:dyDescent="0.35">
      <c r="A9">
        <v>2.5499999999999998E-2</v>
      </c>
      <c r="B9">
        <v>0</v>
      </c>
      <c r="C9">
        <v>0</v>
      </c>
    </row>
    <row r="10" spans="1:3" x14ac:dyDescent="0.35">
      <c r="A10">
        <v>2.9000000000000001E-2</v>
      </c>
      <c r="B10">
        <v>0</v>
      </c>
      <c r="C10">
        <v>0</v>
      </c>
    </row>
    <row r="11" spans="1:3" x14ac:dyDescent="0.35">
      <c r="A11">
        <v>3.3000000000000002E-2</v>
      </c>
      <c r="B11">
        <v>0</v>
      </c>
      <c r="C11">
        <v>0</v>
      </c>
    </row>
    <row r="12" spans="1:3" x14ac:dyDescent="0.35">
      <c r="A12">
        <v>3.7499999999999999E-2</v>
      </c>
      <c r="B12">
        <v>0</v>
      </c>
      <c r="C12">
        <v>0</v>
      </c>
    </row>
    <row r="13" spans="1:3" x14ac:dyDescent="0.35">
      <c r="A13">
        <v>4.2999999999999997E-2</v>
      </c>
      <c r="B13">
        <v>0</v>
      </c>
      <c r="C13">
        <v>0</v>
      </c>
    </row>
    <row r="14" spans="1:3" x14ac:dyDescent="0.35">
      <c r="A14">
        <v>4.9000000000000002E-2</v>
      </c>
      <c r="B14">
        <v>0</v>
      </c>
      <c r="C14">
        <v>0</v>
      </c>
    </row>
    <row r="15" spans="1:3" x14ac:dyDescent="0.35">
      <c r="A15">
        <v>5.5500000000000001E-2</v>
      </c>
      <c r="B15">
        <v>0</v>
      </c>
      <c r="C15">
        <v>0</v>
      </c>
    </row>
    <row r="16" spans="1:3" x14ac:dyDescent="0.35">
      <c r="A16">
        <v>6.3E-2</v>
      </c>
      <c r="B16">
        <v>0</v>
      </c>
      <c r="C16">
        <v>0</v>
      </c>
    </row>
    <row r="17" spans="1:3" x14ac:dyDescent="0.35">
      <c r="A17">
        <v>7.1999999999999995E-2</v>
      </c>
      <c r="B17">
        <v>0</v>
      </c>
      <c r="C17">
        <v>0</v>
      </c>
    </row>
    <row r="18" spans="1:3" x14ac:dyDescent="0.35">
      <c r="A18">
        <v>8.2000000000000003E-2</v>
      </c>
      <c r="B18">
        <v>0</v>
      </c>
      <c r="C18">
        <v>0</v>
      </c>
    </row>
    <row r="19" spans="1:3" x14ac:dyDescent="0.35">
      <c r="A19">
        <v>9.2999999999999999E-2</v>
      </c>
      <c r="B19">
        <v>0</v>
      </c>
      <c r="C19">
        <v>0</v>
      </c>
    </row>
    <row r="20" spans="1:3" x14ac:dyDescent="0.35">
      <c r="A20">
        <v>0.106</v>
      </c>
      <c r="B20">
        <v>0</v>
      </c>
      <c r="C20">
        <v>0</v>
      </c>
    </row>
    <row r="21" spans="1:3" x14ac:dyDescent="0.35">
      <c r="A21">
        <v>0.1205</v>
      </c>
      <c r="B21">
        <v>0</v>
      </c>
      <c r="C21">
        <v>0</v>
      </c>
    </row>
    <row r="22" spans="1:3" x14ac:dyDescent="0.35">
      <c r="A22">
        <v>0.13650000000000001</v>
      </c>
      <c r="B22">
        <v>0</v>
      </c>
      <c r="C22">
        <v>0</v>
      </c>
    </row>
    <row r="23" spans="1:3" x14ac:dyDescent="0.35">
      <c r="A23">
        <v>0.155</v>
      </c>
      <c r="B23">
        <v>0</v>
      </c>
      <c r="C23">
        <v>0</v>
      </c>
    </row>
    <row r="24" spans="1:3" x14ac:dyDescent="0.35">
      <c r="A24">
        <v>0.17649999999999999</v>
      </c>
      <c r="B24">
        <v>0</v>
      </c>
      <c r="C24">
        <v>0</v>
      </c>
    </row>
    <row r="25" spans="1:3" x14ac:dyDescent="0.35">
      <c r="A25">
        <v>0.20100000000000001</v>
      </c>
      <c r="B25">
        <v>0</v>
      </c>
      <c r="C25">
        <v>0</v>
      </c>
    </row>
    <row r="26" spans="1:3" x14ac:dyDescent="0.35">
      <c r="A26">
        <v>0.22850000000000001</v>
      </c>
      <c r="B26">
        <v>0</v>
      </c>
      <c r="C26">
        <v>0</v>
      </c>
    </row>
    <row r="27" spans="1:3" x14ac:dyDescent="0.35">
      <c r="A27">
        <v>0.25950000000000001</v>
      </c>
      <c r="B27">
        <v>0</v>
      </c>
      <c r="C27">
        <v>0</v>
      </c>
    </row>
    <row r="28" spans="1:3" x14ac:dyDescent="0.35">
      <c r="A28">
        <v>0.29449999999999998</v>
      </c>
      <c r="B28">
        <v>0</v>
      </c>
      <c r="C28">
        <v>0</v>
      </c>
    </row>
    <row r="29" spans="1:3" x14ac:dyDescent="0.35">
      <c r="A29">
        <v>0.33450000000000002</v>
      </c>
      <c r="B29">
        <v>0</v>
      </c>
      <c r="C29">
        <v>0</v>
      </c>
    </row>
    <row r="30" spans="1:3" x14ac:dyDescent="0.35">
      <c r="A30">
        <v>0.3805</v>
      </c>
      <c r="B30">
        <v>0</v>
      </c>
      <c r="C30">
        <v>0</v>
      </c>
    </row>
    <row r="31" spans="1:3" x14ac:dyDescent="0.35">
      <c r="A31">
        <v>0.4325</v>
      </c>
      <c r="B31">
        <v>0</v>
      </c>
      <c r="C31">
        <v>0</v>
      </c>
    </row>
    <row r="32" spans="1:3" x14ac:dyDescent="0.35">
      <c r="A32">
        <v>0.49149999999999999</v>
      </c>
      <c r="B32">
        <v>0</v>
      </c>
      <c r="C32">
        <v>0</v>
      </c>
    </row>
    <row r="33" spans="1:3" x14ac:dyDescent="0.35">
      <c r="A33">
        <v>0.5585</v>
      </c>
      <c r="B33">
        <v>0</v>
      </c>
      <c r="C33">
        <v>0</v>
      </c>
    </row>
    <row r="34" spans="1:3" x14ac:dyDescent="0.35">
      <c r="A34">
        <v>0.63449999999999995</v>
      </c>
      <c r="B34">
        <v>0</v>
      </c>
      <c r="C34">
        <v>0</v>
      </c>
    </row>
    <row r="35" spans="1:3" x14ac:dyDescent="0.35">
      <c r="A35">
        <v>0.72099999999999997</v>
      </c>
      <c r="B35">
        <v>0</v>
      </c>
      <c r="C35">
        <v>0</v>
      </c>
    </row>
    <row r="36" spans="1:3" x14ac:dyDescent="0.35">
      <c r="A36">
        <v>0.81899999999999995</v>
      </c>
      <c r="B36">
        <v>0.06</v>
      </c>
      <c r="C36">
        <v>0.06</v>
      </c>
    </row>
    <row r="37" spans="1:3" x14ac:dyDescent="0.35">
      <c r="A37">
        <v>0.93049999999999999</v>
      </c>
      <c r="B37">
        <v>0.12</v>
      </c>
      <c r="C37">
        <v>0.18</v>
      </c>
    </row>
    <row r="38" spans="1:3" x14ac:dyDescent="0.35">
      <c r="A38">
        <v>1.0575000000000001</v>
      </c>
      <c r="B38">
        <v>0.15</v>
      </c>
      <c r="C38">
        <v>0.33</v>
      </c>
    </row>
    <row r="39" spans="1:3" x14ac:dyDescent="0.35">
      <c r="A39">
        <v>1.2015</v>
      </c>
      <c r="B39">
        <v>0.18</v>
      </c>
      <c r="C39">
        <v>0.51</v>
      </c>
    </row>
    <row r="40" spans="1:3" x14ac:dyDescent="0.35">
      <c r="A40">
        <v>1.365</v>
      </c>
      <c r="B40">
        <v>0.21</v>
      </c>
      <c r="C40">
        <v>0.72</v>
      </c>
    </row>
    <row r="41" spans="1:3" x14ac:dyDescent="0.35">
      <c r="A41">
        <v>1.5509999999999999</v>
      </c>
      <c r="B41">
        <v>0.25</v>
      </c>
      <c r="C41">
        <v>0.97</v>
      </c>
    </row>
    <row r="42" spans="1:3" x14ac:dyDescent="0.35">
      <c r="A42">
        <v>1.7625</v>
      </c>
      <c r="B42">
        <v>0.28999999999999998</v>
      </c>
      <c r="C42">
        <v>1.26</v>
      </c>
    </row>
    <row r="43" spans="1:3" x14ac:dyDescent="0.35">
      <c r="A43">
        <v>2.0024999999999999</v>
      </c>
      <c r="B43">
        <v>0.33</v>
      </c>
      <c r="C43">
        <v>1.59</v>
      </c>
    </row>
    <row r="44" spans="1:3" x14ac:dyDescent="0.35">
      <c r="A44">
        <v>2.2749999999999999</v>
      </c>
      <c r="B44">
        <v>0.35</v>
      </c>
      <c r="C44">
        <v>1.94</v>
      </c>
    </row>
    <row r="45" spans="1:3" x14ac:dyDescent="0.35">
      <c r="A45">
        <v>2.585</v>
      </c>
      <c r="B45">
        <v>0.38</v>
      </c>
      <c r="C45">
        <v>2.3199999999999998</v>
      </c>
    </row>
    <row r="46" spans="1:3" x14ac:dyDescent="0.35">
      <c r="A46">
        <v>2.9369999999999998</v>
      </c>
      <c r="B46">
        <v>0.4</v>
      </c>
      <c r="C46">
        <v>2.72</v>
      </c>
    </row>
    <row r="47" spans="1:3" x14ac:dyDescent="0.35">
      <c r="A47">
        <v>3.3370000000000002</v>
      </c>
      <c r="B47">
        <v>0.43</v>
      </c>
      <c r="C47">
        <v>3.15</v>
      </c>
    </row>
    <row r="48" spans="1:3" x14ac:dyDescent="0.35">
      <c r="A48">
        <v>3.7915000000000001</v>
      </c>
      <c r="B48">
        <v>0.46</v>
      </c>
      <c r="C48">
        <v>3.61</v>
      </c>
    </row>
    <row r="49" spans="1:3" x14ac:dyDescent="0.35">
      <c r="A49">
        <v>4.3079999999999998</v>
      </c>
      <c r="B49">
        <v>0.48</v>
      </c>
      <c r="C49">
        <v>4.09</v>
      </c>
    </row>
    <row r="50" spans="1:3" x14ac:dyDescent="0.35">
      <c r="A50">
        <v>4.8949999999999996</v>
      </c>
      <c r="B50">
        <v>0.52</v>
      </c>
      <c r="C50">
        <v>4.6100000000000003</v>
      </c>
    </row>
    <row r="51" spans="1:3" x14ac:dyDescent="0.35">
      <c r="A51">
        <v>5.5614999999999997</v>
      </c>
      <c r="B51">
        <v>0.57999999999999996</v>
      </c>
      <c r="C51">
        <v>5.19</v>
      </c>
    </row>
    <row r="52" spans="1:3" x14ac:dyDescent="0.35">
      <c r="A52">
        <v>6.3185000000000002</v>
      </c>
      <c r="B52">
        <v>0.62</v>
      </c>
      <c r="C52">
        <v>5.81</v>
      </c>
    </row>
    <row r="53" spans="1:3" x14ac:dyDescent="0.35">
      <c r="A53">
        <v>7.1784999999999997</v>
      </c>
      <c r="B53">
        <v>0.7</v>
      </c>
      <c r="C53">
        <v>6.51</v>
      </c>
    </row>
    <row r="54" spans="1:3" x14ac:dyDescent="0.35">
      <c r="A54">
        <v>8.1560000000000006</v>
      </c>
      <c r="B54">
        <v>0.77</v>
      </c>
      <c r="C54">
        <v>7.28</v>
      </c>
    </row>
    <row r="55" spans="1:3" x14ac:dyDescent="0.35">
      <c r="A55">
        <v>9.2669999999999995</v>
      </c>
      <c r="B55">
        <v>0.86</v>
      </c>
      <c r="C55">
        <v>8.14</v>
      </c>
    </row>
    <row r="56" spans="1:3" x14ac:dyDescent="0.35">
      <c r="A56">
        <v>10.529</v>
      </c>
      <c r="B56">
        <v>0.96</v>
      </c>
      <c r="C56">
        <v>9.1</v>
      </c>
    </row>
    <row r="57" spans="1:3" x14ac:dyDescent="0.35">
      <c r="A57">
        <v>11.96</v>
      </c>
      <c r="B57">
        <v>1.06</v>
      </c>
      <c r="C57">
        <v>10.16</v>
      </c>
    </row>
    <row r="58" spans="1:3" x14ac:dyDescent="0.35">
      <c r="A58">
        <v>13.585000000000001</v>
      </c>
      <c r="B58">
        <v>1.19</v>
      </c>
      <c r="C58">
        <v>11.35</v>
      </c>
    </row>
    <row r="59" spans="1:3" x14ac:dyDescent="0.35">
      <c r="A59">
        <v>15.435</v>
      </c>
      <c r="B59">
        <v>1.31</v>
      </c>
      <c r="C59">
        <v>12.66</v>
      </c>
    </row>
    <row r="60" spans="1:3" x14ac:dyDescent="0.35">
      <c r="A60">
        <v>17.54</v>
      </c>
      <c r="B60">
        <v>1.47</v>
      </c>
      <c r="C60">
        <v>14.13</v>
      </c>
    </row>
    <row r="61" spans="1:3" x14ac:dyDescent="0.35">
      <c r="A61">
        <v>19.93</v>
      </c>
      <c r="B61">
        <v>1.62</v>
      </c>
      <c r="C61">
        <v>15.75</v>
      </c>
    </row>
    <row r="62" spans="1:3" x14ac:dyDescent="0.35">
      <c r="A62">
        <v>22.645</v>
      </c>
      <c r="B62">
        <v>1.79</v>
      </c>
      <c r="C62">
        <v>17.54</v>
      </c>
    </row>
    <row r="63" spans="1:3" x14ac:dyDescent="0.35">
      <c r="A63">
        <v>25.73</v>
      </c>
      <c r="B63">
        <v>1.96</v>
      </c>
      <c r="C63">
        <v>19.5</v>
      </c>
    </row>
    <row r="64" spans="1:3" x14ac:dyDescent="0.35">
      <c r="A64">
        <v>29.234999999999999</v>
      </c>
      <c r="B64">
        <v>2.14</v>
      </c>
      <c r="C64">
        <v>21.64</v>
      </c>
    </row>
    <row r="65" spans="1:3" x14ac:dyDescent="0.35">
      <c r="A65">
        <v>33.215000000000003</v>
      </c>
      <c r="B65">
        <v>2.31</v>
      </c>
      <c r="C65">
        <v>23.95</v>
      </c>
    </row>
    <row r="66" spans="1:3" x14ac:dyDescent="0.35">
      <c r="A66">
        <v>37.734999999999999</v>
      </c>
      <c r="B66">
        <v>2.46</v>
      </c>
      <c r="C66">
        <v>26.41</v>
      </c>
    </row>
    <row r="67" spans="1:3" x14ac:dyDescent="0.35">
      <c r="A67">
        <v>42.875</v>
      </c>
      <c r="B67">
        <v>2.61</v>
      </c>
      <c r="C67">
        <v>29.02</v>
      </c>
    </row>
    <row r="68" spans="1:3" x14ac:dyDescent="0.35">
      <c r="A68">
        <v>48.715000000000003</v>
      </c>
      <c r="B68">
        <v>2.72</v>
      </c>
      <c r="C68">
        <v>31.74</v>
      </c>
    </row>
    <row r="69" spans="1:3" x14ac:dyDescent="0.35">
      <c r="A69">
        <v>55.344999999999999</v>
      </c>
      <c r="B69">
        <v>2.8</v>
      </c>
      <c r="C69">
        <v>34.54</v>
      </c>
    </row>
    <row r="70" spans="1:3" x14ac:dyDescent="0.35">
      <c r="A70">
        <v>62.88</v>
      </c>
      <c r="B70">
        <v>2.87</v>
      </c>
      <c r="C70">
        <v>37.409999999999997</v>
      </c>
    </row>
    <row r="71" spans="1:3" x14ac:dyDescent="0.35">
      <c r="A71">
        <v>71.444999999999993</v>
      </c>
      <c r="B71">
        <v>2.9</v>
      </c>
      <c r="C71">
        <v>40.31</v>
      </c>
    </row>
    <row r="72" spans="1:3" x14ac:dyDescent="0.35">
      <c r="A72">
        <v>81.174999999999997</v>
      </c>
      <c r="B72">
        <v>2.92</v>
      </c>
      <c r="C72">
        <v>43.23</v>
      </c>
    </row>
    <row r="73" spans="1:3" x14ac:dyDescent="0.35">
      <c r="A73">
        <v>92.23</v>
      </c>
      <c r="B73">
        <v>2.95</v>
      </c>
      <c r="C73">
        <v>46.18</v>
      </c>
    </row>
    <row r="74" spans="1:3" x14ac:dyDescent="0.35">
      <c r="A74">
        <v>104.755</v>
      </c>
      <c r="B74">
        <v>2.96</v>
      </c>
      <c r="C74">
        <v>49.14</v>
      </c>
    </row>
    <row r="75" spans="1:3" x14ac:dyDescent="0.35">
      <c r="A75">
        <v>119</v>
      </c>
      <c r="B75">
        <v>2.96</v>
      </c>
      <c r="C75">
        <v>52.1</v>
      </c>
    </row>
    <row r="76" spans="1:3" x14ac:dyDescent="0.35">
      <c r="A76">
        <v>135.19999999999999</v>
      </c>
      <c r="B76">
        <v>2.96</v>
      </c>
      <c r="C76">
        <v>55.06</v>
      </c>
    </row>
    <row r="77" spans="1:3" x14ac:dyDescent="0.35">
      <c r="A77">
        <v>153.6</v>
      </c>
      <c r="B77">
        <v>2.95</v>
      </c>
      <c r="C77">
        <v>58.01</v>
      </c>
    </row>
    <row r="78" spans="1:3" x14ac:dyDescent="0.35">
      <c r="A78">
        <v>174.55</v>
      </c>
      <c r="B78">
        <v>3</v>
      </c>
      <c r="C78">
        <v>61.01</v>
      </c>
    </row>
    <row r="79" spans="1:3" x14ac:dyDescent="0.35">
      <c r="A79">
        <v>198.35</v>
      </c>
      <c r="B79">
        <v>3.08</v>
      </c>
      <c r="C79">
        <v>64.09</v>
      </c>
    </row>
    <row r="80" spans="1:3" x14ac:dyDescent="0.35">
      <c r="A80">
        <v>225.35</v>
      </c>
      <c r="B80">
        <v>3.21</v>
      </c>
      <c r="C80">
        <v>67.3</v>
      </c>
    </row>
    <row r="81" spans="1:3" x14ac:dyDescent="0.35">
      <c r="A81">
        <v>256.05</v>
      </c>
      <c r="B81">
        <v>3.39</v>
      </c>
      <c r="C81">
        <v>70.69</v>
      </c>
    </row>
    <row r="82" spans="1:3" x14ac:dyDescent="0.35">
      <c r="A82">
        <v>290.95</v>
      </c>
      <c r="B82">
        <v>3.56</v>
      </c>
      <c r="C82">
        <v>74.25</v>
      </c>
    </row>
    <row r="83" spans="1:3" x14ac:dyDescent="0.35">
      <c r="A83">
        <v>330.55</v>
      </c>
      <c r="B83">
        <v>3.68</v>
      </c>
      <c r="C83">
        <v>77.930000000000007</v>
      </c>
    </row>
    <row r="84" spans="1:3" x14ac:dyDescent="0.35">
      <c r="A84">
        <v>375.55</v>
      </c>
      <c r="B84">
        <v>3.75</v>
      </c>
      <c r="C84">
        <v>81.680000000000007</v>
      </c>
    </row>
    <row r="85" spans="1:3" x14ac:dyDescent="0.35">
      <c r="A85">
        <v>426.7</v>
      </c>
      <c r="B85">
        <v>3.72</v>
      </c>
      <c r="C85">
        <v>85.4</v>
      </c>
    </row>
    <row r="86" spans="1:3" x14ac:dyDescent="0.35">
      <c r="A86">
        <v>484.8</v>
      </c>
      <c r="B86">
        <v>3.62</v>
      </c>
      <c r="C86">
        <v>89.02</v>
      </c>
    </row>
    <row r="87" spans="1:3" x14ac:dyDescent="0.35">
      <c r="A87">
        <v>550.85</v>
      </c>
      <c r="B87">
        <v>3.23</v>
      </c>
      <c r="C87">
        <v>92.25</v>
      </c>
    </row>
    <row r="88" spans="1:3" x14ac:dyDescent="0.35">
      <c r="A88">
        <v>625.85</v>
      </c>
      <c r="B88">
        <v>2.36</v>
      </c>
      <c r="C88">
        <v>94.61</v>
      </c>
    </row>
    <row r="89" spans="1:3" x14ac:dyDescent="0.35">
      <c r="A89">
        <v>711.05</v>
      </c>
      <c r="B89">
        <v>1.3</v>
      </c>
      <c r="C89">
        <v>95.91</v>
      </c>
    </row>
    <row r="90" spans="1:3" x14ac:dyDescent="0.35">
      <c r="A90">
        <v>807.9</v>
      </c>
      <c r="B90">
        <v>0.6</v>
      </c>
      <c r="C90">
        <v>96.51</v>
      </c>
    </row>
    <row r="91" spans="1:3" x14ac:dyDescent="0.35">
      <c r="A91">
        <v>917.9</v>
      </c>
      <c r="B91">
        <v>0.5</v>
      </c>
      <c r="C91">
        <v>97.01</v>
      </c>
    </row>
    <row r="92" spans="1:3" x14ac:dyDescent="0.35">
      <c r="A92">
        <v>1042.7</v>
      </c>
      <c r="B92">
        <v>0.73</v>
      </c>
      <c r="C92">
        <v>97.74</v>
      </c>
    </row>
    <row r="93" spans="1:3" x14ac:dyDescent="0.35">
      <c r="A93">
        <v>1184.5</v>
      </c>
      <c r="B93">
        <v>0.95</v>
      </c>
      <c r="C93">
        <v>98.69</v>
      </c>
    </row>
    <row r="94" spans="1:3" x14ac:dyDescent="0.35">
      <c r="A94">
        <v>1346</v>
      </c>
      <c r="B94">
        <v>0.89</v>
      </c>
      <c r="C94">
        <v>99.58</v>
      </c>
    </row>
    <row r="95" spans="1:3" x14ac:dyDescent="0.35">
      <c r="A95">
        <v>1529.5</v>
      </c>
      <c r="B95">
        <v>0.42</v>
      </c>
      <c r="C95">
        <v>100</v>
      </c>
    </row>
    <row r="96" spans="1:3" x14ac:dyDescent="0.35">
      <c r="A96">
        <v>1737.5</v>
      </c>
      <c r="B96">
        <v>0</v>
      </c>
      <c r="C96">
        <v>100</v>
      </c>
    </row>
    <row r="97" spans="1:3" x14ac:dyDescent="0.35">
      <c r="A97">
        <v>1974</v>
      </c>
      <c r="B97">
        <v>0</v>
      </c>
      <c r="C97">
        <v>100</v>
      </c>
    </row>
    <row r="98" spans="1:3" x14ac:dyDescent="0.35">
      <c r="A98">
        <v>2243</v>
      </c>
      <c r="B98">
        <v>0</v>
      </c>
      <c r="C98">
        <v>100</v>
      </c>
    </row>
    <row r="99" spans="1:3" x14ac:dyDescent="0.35">
      <c r="A99">
        <v>2548.5</v>
      </c>
      <c r="B99">
        <v>0</v>
      </c>
      <c r="C99">
        <v>100</v>
      </c>
    </row>
    <row r="100" spans="1:3" x14ac:dyDescent="0.35">
      <c r="A100">
        <v>2895.5</v>
      </c>
      <c r="B100">
        <v>0</v>
      </c>
      <c r="C100">
        <v>100</v>
      </c>
    </row>
    <row r="101" spans="1:3" x14ac:dyDescent="0.35">
      <c r="A101">
        <v>3290</v>
      </c>
      <c r="B101">
        <v>0</v>
      </c>
      <c r="C10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F949-6BC2-441C-8476-00D55A5595F7}">
  <dimension ref="A1:E6"/>
  <sheetViews>
    <sheetView workbookViewId="0">
      <selection activeCell="J9" sqref="J9"/>
    </sheetView>
  </sheetViews>
  <sheetFormatPr defaultRowHeight="14.5" x14ac:dyDescent="0.35"/>
  <cols>
    <col min="1" max="1" width="9.81640625" bestFit="1" customWidth="1"/>
    <col min="2" max="2" width="19.9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98</v>
      </c>
    </row>
    <row r="2" spans="1:5" x14ac:dyDescent="0.35">
      <c r="A2" t="s">
        <v>25</v>
      </c>
      <c r="B2" t="s">
        <v>26</v>
      </c>
      <c r="C2" t="s">
        <v>27</v>
      </c>
      <c r="D2">
        <v>190</v>
      </c>
    </row>
    <row r="3" spans="1:5" x14ac:dyDescent="0.35">
      <c r="A3" t="s">
        <v>28</v>
      </c>
      <c r="B3" t="s">
        <v>29</v>
      </c>
      <c r="C3" t="s">
        <v>30</v>
      </c>
      <c r="D3">
        <v>3000</v>
      </c>
    </row>
    <row r="4" spans="1:5" x14ac:dyDescent="0.35">
      <c r="A4" t="s">
        <v>31</v>
      </c>
      <c r="B4" t="s">
        <v>32</v>
      </c>
      <c r="C4" t="s">
        <v>33</v>
      </c>
      <c r="D4">
        <v>10</v>
      </c>
      <c r="E4" t="s">
        <v>90</v>
      </c>
    </row>
    <row r="5" spans="1:5" x14ac:dyDescent="0.35">
      <c r="A5" t="s">
        <v>34</v>
      </c>
      <c r="B5" t="s">
        <v>35</v>
      </c>
      <c r="C5" t="s">
        <v>16</v>
      </c>
      <c r="D5" s="3">
        <v>4.0000000000000002E-4</v>
      </c>
      <c r="E5" t="s">
        <v>90</v>
      </c>
    </row>
    <row r="6" spans="1:5" x14ac:dyDescent="0.35">
      <c r="A6" t="s">
        <v>36</v>
      </c>
      <c r="B6" t="s">
        <v>37</v>
      </c>
      <c r="C6" t="s">
        <v>27</v>
      </c>
      <c r="D6">
        <f>70+365</f>
        <v>435</v>
      </c>
      <c r="E6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Climatic</vt:lpstr>
      <vt:lpstr>Rain</vt:lpstr>
      <vt:lpstr>Soil</vt:lpstr>
      <vt:lpstr>Feedstock</vt:lpstr>
      <vt:lpstr>Mineralogy</vt:lpstr>
      <vt:lpstr>GrainSizeDistribution</vt:lpstr>
      <vt:lpstr>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Michaelis</dc:creator>
  <cp:lastModifiedBy>Tamara Michaelis</cp:lastModifiedBy>
  <dcterms:created xsi:type="dcterms:W3CDTF">2015-06-05T18:17:20Z</dcterms:created>
  <dcterms:modified xsi:type="dcterms:W3CDTF">2026-07-13T19:13:57Z</dcterms:modified>
</cp:coreProperties>
</file>